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\"/>
    </mc:Choice>
  </mc:AlternateContent>
  <xr:revisionPtr revIDLastSave="0" documentId="13_ncr:1_{FAE4CF75-BA50-4AD9-85E6-0E2253A0D438}" xr6:coauthVersionLast="47" xr6:coauthVersionMax="47" xr10:uidLastSave="{00000000-0000-0000-0000-000000000000}"/>
  <bookViews>
    <workbookView xWindow="25695" yWindow="0" windowWidth="26010" windowHeight="20985" activeTab="1" xr2:uid="{6E06E6E4-1B7E-45A9-9EC4-66B46DCD0CF2}"/>
  </bookViews>
  <sheets>
    <sheet name="Raw 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19" i="2" s="1"/>
  <c r="B20" i="2" s="1"/>
  <c r="B21" i="2"/>
  <c r="B18" i="2"/>
  <c r="H15" i="2"/>
  <c r="H12" i="2"/>
  <c r="H13" i="2"/>
  <c r="H14" i="2"/>
  <c r="H11" i="2"/>
  <c r="G11" i="2"/>
  <c r="G12" i="2"/>
  <c r="G13" i="2"/>
  <c r="G14" i="2"/>
  <c r="G10" i="2"/>
  <c r="F11" i="2"/>
  <c r="F12" i="2"/>
  <c r="F13" i="2"/>
  <c r="F14" i="2"/>
  <c r="F10" i="2"/>
  <c r="E11" i="2"/>
  <c r="E12" i="2"/>
  <c r="E13" i="2"/>
  <c r="E14" i="2"/>
  <c r="E10" i="2"/>
  <c r="D11" i="2"/>
  <c r="D12" i="2"/>
  <c r="D13" i="2"/>
  <c r="D14" i="2"/>
  <c r="D10" i="2"/>
  <c r="C11" i="2"/>
  <c r="C12" i="2"/>
  <c r="C13" i="2"/>
  <c r="C14" i="2"/>
  <c r="C10" i="2"/>
  <c r="B12" i="2"/>
  <c r="B13" i="2"/>
  <c r="B14" i="2"/>
  <c r="B11" i="2"/>
  <c r="B10" i="2"/>
  <c r="A12" i="2"/>
  <c r="A13" i="2"/>
  <c r="A14" i="2"/>
  <c r="A11" i="2"/>
  <c r="A10" i="2"/>
</calcChain>
</file>

<file path=xl/sharedStrings.xml><?xml version="1.0" encoding="utf-8"?>
<sst xmlns="http://schemas.openxmlformats.org/spreadsheetml/2006/main" count="28" uniqueCount="26">
  <si>
    <t>Commercial GL - Raw Claims Data</t>
  </si>
  <si>
    <t>Policy Year</t>
  </si>
  <si>
    <t>Earned Exposeure</t>
  </si>
  <si>
    <t>Claims</t>
  </si>
  <si>
    <t>Total Incurred Loss</t>
  </si>
  <si>
    <t>Commercial GL - Loss Trend &amp; Indicated Rate Change</t>
  </si>
  <si>
    <t>Variables</t>
  </si>
  <si>
    <t>Expense Ratio</t>
  </si>
  <si>
    <t>Profit Provision</t>
  </si>
  <si>
    <t>Next Year Projection</t>
  </si>
  <si>
    <t>Selected Trend (Avg Trend)</t>
  </si>
  <si>
    <t>Inputs</t>
  </si>
  <si>
    <t>Exposure</t>
  </si>
  <si>
    <t>Loss</t>
  </si>
  <si>
    <t>Frequency</t>
  </si>
  <si>
    <t>Severity</t>
  </si>
  <si>
    <t>Pure Premium</t>
  </si>
  <si>
    <t>PP Trend</t>
  </si>
  <si>
    <t/>
  </si>
  <si>
    <t>Avg Trend</t>
  </si>
  <si>
    <t>Projection &amp; Indication</t>
  </si>
  <si>
    <t>Currect Pure Premium (2024)</t>
  </si>
  <si>
    <t>Projected Pure Premium (Next Year)</t>
  </si>
  <si>
    <t>Indicated Rate Level (Next Year)</t>
  </si>
  <si>
    <t>Indicated Rate Change</t>
  </si>
  <si>
    <t>Current Rate Level (Same Provsions)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</si>
</sst>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8" formatCode="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4">
    <xf numFmtId="0" fontId="0" fillId="0" borderId="0" xfId="0"/>
    <xf numFmtId="0" fontId="2" fillId="0" borderId="1" xfId="3" applyAlignment="1">
      <alignment horizontal="center"/>
    </xf>
    <xf numFmtId="0" fontId="3" fillId="0" borderId="0" xfId="4"/>
    <xf numFmtId="165" fontId="0" fillId="0" borderId="0" xfId="1" applyNumberFormat="1" applyFont="1"/>
    <xf numFmtId="0" fontId="3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5" fontId="0" fillId="0" borderId="0" xfId="0" applyNumberFormat="1"/>
    <xf numFmtId="166" fontId="4" fillId="2" borderId="0" xfId="5" applyNumberFormat="1"/>
    <xf numFmtId="0" fontId="4" fillId="2" borderId="0" xfId="5"/>
    <xf numFmtId="166" fontId="5" fillId="3" borderId="0" xfId="6" applyNumberFormat="1"/>
    <xf numFmtId="0" fontId="3" fillId="0" borderId="0" xfId="4" applyAlignment="1">
      <alignment horizontal="center" vertical="center"/>
    </xf>
  </cellXfs>
  <cellStyles count="7">
    <cellStyle name="Bad" xfId="6" builtinId="27"/>
    <cellStyle name="Currency" xfId="1" builtinId="4"/>
    <cellStyle name="Good" xfId="5" builtinId="26"/>
    <cellStyle name="Heading 1" xfId="3" builtinId="16"/>
    <cellStyle name="Heading 4" xfId="4" builtinId="19"/>
    <cellStyle name="Normal" xfId="0" builtinId="0"/>
    <cellStyle name="Percent" xfId="2" builtinId="5"/>
  </cellStyles>
  <dxfs count="15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8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Sheet2!$G$9</c:f>
              <c:strCache>
                <c:ptCount val="1"/>
                <c:pt idx="0">
                  <c:v>Pure Premium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Sheet2!$A$10:$A$14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Sheet2!$G$10:$G$14</c:f>
              <c:numCache>
                <c:formatCode>_("$"* #,##0_);_("$"* \(#,##0\);_("$"* "-"??_);_(@_)</c:formatCode>
                <c:ptCount val="5"/>
                <c:pt idx="0">
                  <c:v>800</c:v>
                </c:pt>
                <c:pt idx="1">
                  <c:v>829.62962962962968</c:v>
                </c:pt>
                <c:pt idx="2">
                  <c:v>920</c:v>
                </c:pt>
                <c:pt idx="3">
                  <c:v>981.81818181818187</c:v>
                </c:pt>
                <c:pt idx="4">
                  <c:v>1083.3333333333333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7A-46AB-8053-EFE0B981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291151"/>
        <c:axId val="6692921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Sheet2!$A$9</c15:sqref>
                        </c15:formulaRef>
                      </c:ext>
                    </c:extLst>
                    <c:strCache>
                      <c:ptCount val="1"/>
                      <c:pt idx="0">
                        <c:v>Policy 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Sheet2!$A$10:$A$14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Sheet2!$A$10:$A$14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7A-46AB-8053-EFE0B981513B}"/>
                  </c:ext>
                </c:extLst>
              </c15:ser>
            </c15:filteredLineSeries>
          </c:ext>
        </c:extLst>
      </c:lineChart>
      <c:catAx>
        <c:axId val="6692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292111"/>
        <c:crosses val="autoZero"/>
        <c:auto val="1"/>
        <c:lblAlgn val="ctr"/>
        <c:lblOffset val="100"/>
        <c:noMultiLvlLbl val="0"/>
      </c:catAx>
      <c:valAx>
        <c:axId val="6692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29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42862</xdr:rowOff>
    </xdr:from>
    <xdr:to>
      <xdr:col>17</xdr:col>
      <xdr:colOff>304800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D4CD1C-9E36-CDDB-0AB0-8BFD9BF48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A6B49-71EA-4601-AB06-1949EDBD06F7}" name="Table1" displayName="Table1" ref="A9:H15" totalsRowShown="0" headerRowDxfId="0" dataDxfId="1" headerRowCellStyle="Heading 4" dataCellStyle="Currency">
  <autoFilter ref="A9:H15" xr:uid="{DFFA6B49-71EA-4601-AB06-1949EDBD06F7}"/>
  <tableColumns count="8">
    <tableColumn id="1" xr3:uid="{8240B2A6-9B29-4A41-B654-9F2D43C62B87}" name="Policy Year" dataDxfId="9"/>
    <tableColumn id="2" xr3:uid="{B8EA31A9-663C-4187-8590-E7D94C34505E}" name="Exposure" dataDxfId="8"/>
    <tableColumn id="3" xr3:uid="{117343EE-93D5-4E86-B371-AEA04B8A929E}" name="Claims" dataDxfId="7"/>
    <tableColumn id="4" xr3:uid="{3C5374CA-27DA-4D30-A6BC-3875E19D42C6}" name="Loss" dataDxfId="6" dataCellStyle="Currency"/>
    <tableColumn id="5" xr3:uid="{7E16FB49-DA55-49CC-9915-0562661C15AB}" name="Frequency" dataDxfId="5"/>
    <tableColumn id="6" xr3:uid="{28E84FBE-8610-4FB8-AA1A-692037345663}" name="Severity" dataDxfId="4" dataCellStyle="Currency"/>
    <tableColumn id="7" xr3:uid="{13297199-BF87-4102-B3D9-0332C5963121}" name="Pure Premium" dataDxfId="3" dataCellStyle="Currency"/>
    <tableColumn id="8" xr3:uid="{E77ED48F-26B0-4690-BF46-C1B7DB6543BC}" name="PP Trend" dataDxfId="2" dataCellStyle="Perce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C7F4-6B25-4EB9-963D-D8CCC98A4A26}">
  <dimension ref="A1:D7"/>
  <sheetViews>
    <sheetView workbookViewId="0">
      <selection activeCell="B3" sqref="B3"/>
    </sheetView>
  </sheetViews>
  <sheetFormatPr defaultRowHeight="15" x14ac:dyDescent="0.25"/>
  <cols>
    <col min="1" max="1" width="10.5703125" bestFit="1" customWidth="1"/>
    <col min="2" max="2" width="16.7109375" bestFit="1" customWidth="1"/>
    <col min="3" max="3" width="7.140625" bestFit="1" customWidth="1"/>
    <col min="4" max="4" width="18" bestFit="1" customWidth="1"/>
  </cols>
  <sheetData>
    <row r="1" spans="1:4" ht="20.25" thickBot="1" x14ac:dyDescent="0.35">
      <c r="A1" s="1" t="s">
        <v>0</v>
      </c>
      <c r="B1" s="1"/>
      <c r="C1" s="1"/>
      <c r="D1" s="1"/>
    </row>
    <row r="2" spans="1:4" ht="15.75" thickTop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2020</v>
      </c>
      <c r="B3">
        <v>1200</v>
      </c>
      <c r="C3">
        <v>48</v>
      </c>
      <c r="D3" s="3">
        <v>960000</v>
      </c>
    </row>
    <row r="4" spans="1:4" x14ac:dyDescent="0.25">
      <c r="A4">
        <v>2021</v>
      </c>
      <c r="B4">
        <v>1350</v>
      </c>
      <c r="C4">
        <v>55</v>
      </c>
      <c r="D4" s="3">
        <v>1120000</v>
      </c>
    </row>
    <row r="5" spans="1:4" x14ac:dyDescent="0.25">
      <c r="A5">
        <v>2022</v>
      </c>
      <c r="B5">
        <v>1500</v>
      </c>
      <c r="C5">
        <v>63</v>
      </c>
      <c r="D5" s="3">
        <v>1380000</v>
      </c>
    </row>
    <row r="6" spans="1:4" x14ac:dyDescent="0.25">
      <c r="A6">
        <v>2023</v>
      </c>
      <c r="B6">
        <v>1650</v>
      </c>
      <c r="C6">
        <v>72</v>
      </c>
      <c r="D6" s="3">
        <v>1620000</v>
      </c>
    </row>
    <row r="7" spans="1:4" x14ac:dyDescent="0.25">
      <c r="A7">
        <v>2024</v>
      </c>
      <c r="B7">
        <v>1800</v>
      </c>
      <c r="C7">
        <v>85</v>
      </c>
      <c r="D7" s="3">
        <v>1950000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DFB5-EE69-4E05-8613-79ACC6A75B67}">
  <dimension ref="A1:H22"/>
  <sheetViews>
    <sheetView tabSelected="1" workbookViewId="0">
      <selection activeCell="I20" sqref="I20"/>
    </sheetView>
  </sheetViews>
  <sheetFormatPr defaultRowHeight="15" x14ac:dyDescent="0.25"/>
  <cols>
    <col min="1" max="1" width="33" bestFit="1" customWidth="1"/>
    <col min="2" max="2" width="11.5703125" customWidth="1"/>
    <col min="3" max="3" width="9.42578125" customWidth="1"/>
    <col min="4" max="4" width="14.28515625" bestFit="1" customWidth="1"/>
    <col min="5" max="5" width="12.5703125" customWidth="1"/>
    <col min="6" max="6" width="12" bestFit="1" customWidth="1"/>
    <col min="7" max="7" width="15.85546875" customWidth="1"/>
    <col min="8" max="8" width="12" bestFit="1" customWidth="1"/>
  </cols>
  <sheetData>
    <row r="1" spans="1:8" ht="20.25" thickBot="1" x14ac:dyDescent="0.35">
      <c r="A1" s="1" t="s">
        <v>5</v>
      </c>
      <c r="B1" s="1"/>
      <c r="C1" s="1"/>
      <c r="D1" s="1"/>
      <c r="E1" s="1"/>
      <c r="F1" s="1"/>
    </row>
    <row r="2" spans="1:8" ht="15.75" thickTop="1" x14ac:dyDescent="0.25">
      <c r="A2" s="4" t="s">
        <v>6</v>
      </c>
      <c r="B2" s="4" t="s">
        <v>11</v>
      </c>
    </row>
    <row r="3" spans="1:8" x14ac:dyDescent="0.25">
      <c r="A3" t="s">
        <v>7</v>
      </c>
      <c r="B3" s="10">
        <v>0.3</v>
      </c>
    </row>
    <row r="4" spans="1:8" x14ac:dyDescent="0.25">
      <c r="A4" t="s">
        <v>8</v>
      </c>
      <c r="B4" s="10">
        <v>0.05</v>
      </c>
    </row>
    <row r="5" spans="1:8" x14ac:dyDescent="0.25">
      <c r="A5" t="s">
        <v>10</v>
      </c>
      <c r="B5" s="12">
        <f>H15</f>
        <v>7.9138586520832888E-2</v>
      </c>
    </row>
    <row r="6" spans="1:8" x14ac:dyDescent="0.25">
      <c r="A6" t="s">
        <v>9</v>
      </c>
      <c r="B6" s="11">
        <v>2025</v>
      </c>
    </row>
    <row r="9" spans="1:8" x14ac:dyDescent="0.25">
      <c r="A9" s="4" t="s">
        <v>1</v>
      </c>
      <c r="B9" s="4" t="s">
        <v>12</v>
      </c>
      <c r="C9" s="4" t="s">
        <v>3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</row>
    <row r="10" spans="1:8" x14ac:dyDescent="0.25">
      <c r="A10" s="5">
        <f>'Raw Data'!A3</f>
        <v>2020</v>
      </c>
      <c r="B10" s="5">
        <f>'Raw Data'!B3</f>
        <v>1200</v>
      </c>
      <c r="C10" s="5">
        <f>'Raw Data'!C3</f>
        <v>48</v>
      </c>
      <c r="D10" s="6">
        <f>'Raw Data'!D3</f>
        <v>960000</v>
      </c>
      <c r="E10" s="7">
        <f>C10/B10</f>
        <v>0.04</v>
      </c>
      <c r="F10" s="6">
        <f>D10/C10</f>
        <v>20000</v>
      </c>
      <c r="G10" s="6">
        <f>D10/B10</f>
        <v>800</v>
      </c>
      <c r="H10" s="8" t="s">
        <v>18</v>
      </c>
    </row>
    <row r="11" spans="1:8" x14ac:dyDescent="0.25">
      <c r="A11" s="5">
        <f>'Raw Data'!A4</f>
        <v>2021</v>
      </c>
      <c r="B11" s="5">
        <f>'Raw Data'!B4</f>
        <v>1350</v>
      </c>
      <c r="C11" s="5">
        <f>'Raw Data'!C4</f>
        <v>55</v>
      </c>
      <c r="D11" s="6">
        <f>'Raw Data'!D4</f>
        <v>1120000</v>
      </c>
      <c r="E11" s="7">
        <f t="shared" ref="E11:E14" si="0">C11/B11</f>
        <v>4.0740740740740744E-2</v>
      </c>
      <c r="F11" s="6">
        <f t="shared" ref="F11:F14" si="1">D11/C11</f>
        <v>20363.636363636364</v>
      </c>
      <c r="G11" s="6">
        <f t="shared" ref="G11:G14" si="2">D11/B11</f>
        <v>829.62962962962968</v>
      </c>
      <c r="H11" s="8">
        <f>(G11/G10)-1</f>
        <v>3.7037037037037202E-2</v>
      </c>
    </row>
    <row r="12" spans="1:8" x14ac:dyDescent="0.25">
      <c r="A12" s="5">
        <f>'Raw Data'!A5</f>
        <v>2022</v>
      </c>
      <c r="B12" s="5">
        <f>'Raw Data'!B5</f>
        <v>1500</v>
      </c>
      <c r="C12" s="5">
        <f>'Raw Data'!C5</f>
        <v>63</v>
      </c>
      <c r="D12" s="6">
        <f>'Raw Data'!D5</f>
        <v>1380000</v>
      </c>
      <c r="E12" s="7">
        <f t="shared" si="0"/>
        <v>4.2000000000000003E-2</v>
      </c>
      <c r="F12" s="6">
        <f t="shared" si="1"/>
        <v>21904.761904761905</v>
      </c>
      <c r="G12" s="6">
        <f t="shared" si="2"/>
        <v>920</v>
      </c>
      <c r="H12" s="8">
        <f t="shared" ref="H12:H14" si="3">(G12/G11)-1</f>
        <v>0.10892857142857126</v>
      </c>
    </row>
    <row r="13" spans="1:8" x14ac:dyDescent="0.25">
      <c r="A13" s="5">
        <f>'Raw Data'!A6</f>
        <v>2023</v>
      </c>
      <c r="B13" s="5">
        <f>'Raw Data'!B6</f>
        <v>1650</v>
      </c>
      <c r="C13" s="5">
        <f>'Raw Data'!C6</f>
        <v>72</v>
      </c>
      <c r="D13" s="6">
        <f>'Raw Data'!D6</f>
        <v>1620000</v>
      </c>
      <c r="E13" s="7">
        <f t="shared" si="0"/>
        <v>4.363636363636364E-2</v>
      </c>
      <c r="F13" s="6">
        <f t="shared" si="1"/>
        <v>22500</v>
      </c>
      <c r="G13" s="6">
        <f t="shared" si="2"/>
        <v>981.81818181818187</v>
      </c>
      <c r="H13" s="8">
        <f t="shared" si="3"/>
        <v>6.7193675889328119E-2</v>
      </c>
    </row>
    <row r="14" spans="1:8" x14ac:dyDescent="0.25">
      <c r="A14" s="5">
        <f>'Raw Data'!A7</f>
        <v>2024</v>
      </c>
      <c r="B14" s="5">
        <f>'Raw Data'!B7</f>
        <v>1800</v>
      </c>
      <c r="C14" s="5">
        <f>'Raw Data'!C7</f>
        <v>85</v>
      </c>
      <c r="D14" s="6">
        <f>'Raw Data'!D7</f>
        <v>1950000</v>
      </c>
      <c r="E14" s="7">
        <f t="shared" si="0"/>
        <v>4.7222222222222221E-2</v>
      </c>
      <c r="F14" s="6">
        <f t="shared" si="1"/>
        <v>22941.176470588234</v>
      </c>
      <c r="G14" s="6">
        <f t="shared" si="2"/>
        <v>1083.3333333333333</v>
      </c>
      <c r="H14" s="8">
        <f t="shared" si="3"/>
        <v>0.10339506172839497</v>
      </c>
    </row>
    <row r="15" spans="1:8" x14ac:dyDescent="0.25">
      <c r="G15" s="4" t="s">
        <v>19</v>
      </c>
      <c r="H15" s="12">
        <f>AVERAGE(H11:H14)</f>
        <v>7.9138586520832888E-2</v>
      </c>
    </row>
    <row r="17" spans="1:2" x14ac:dyDescent="0.25">
      <c r="A17" s="13" t="s">
        <v>20</v>
      </c>
      <c r="B17" s="13"/>
    </row>
    <row r="18" spans="1:2" x14ac:dyDescent="0.25">
      <c r="A18" t="s">
        <v>21</v>
      </c>
      <c r="B18" s="9">
        <f>G14</f>
        <v>1083.3333333333333</v>
      </c>
    </row>
    <row r="19" spans="1:2" x14ac:dyDescent="0.25">
      <c r="A19" t="s">
        <v>22</v>
      </c>
      <c r="B19" s="9">
        <f>B18*(1+$B$5)</f>
        <v>1169.0668020642356</v>
      </c>
    </row>
    <row r="20" spans="1:2" x14ac:dyDescent="0.25">
      <c r="A20" t="s">
        <v>23</v>
      </c>
      <c r="B20" s="9">
        <f>B19/(1-$B$3-$B$4)</f>
        <v>1798.5643108680551</v>
      </c>
    </row>
    <row r="21" spans="1:2" x14ac:dyDescent="0.25">
      <c r="A21" t="s">
        <v>25</v>
      </c>
      <c r="B21" s="9">
        <f>B18/(1-$B$3-$B$4)</f>
        <v>1666.6666666666667</v>
      </c>
    </row>
    <row r="22" spans="1:2" x14ac:dyDescent="0.25">
      <c r="A22" t="s">
        <v>24</v>
      </c>
    </row>
  </sheetData>
  <mergeCells count="2">
    <mergeCell ref="A1:F1"/>
    <mergeCell ref="A17:B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 Oberhausen</dc:creator>
  <cp:lastModifiedBy>Landon Oberhausen</cp:lastModifiedBy>
  <dcterms:created xsi:type="dcterms:W3CDTF">2026-02-27T03:39:19Z</dcterms:created>
  <dcterms:modified xsi:type="dcterms:W3CDTF">2026-02-27T04:40:57Z</dcterms:modified>
</cp:coreProperties>
</file>